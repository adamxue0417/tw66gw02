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PC\Desktop\TW66GW02\10\outputs\01a01df3-f219-70e3-823c-0747ab78d408\"/>
    </mc:Choice>
  </mc:AlternateContent>
  <bookViews>
    <workbookView windowWidth="21094" windowHeight="9805"/>
  </bookViews>
  <sheets>
    <sheet name="测试概览" sheetId="4" r:id="rId1"/>
    <sheet name="APP基础测试" sheetId="3" r:id="rId2"/>
    <sheet name="UI操作逻辑" sheetId="2" r:id="rId3"/>
    <sheet name="验证列表" sheetId="1" state="veryHidden" r:id="rId4"/>
  </sheets>
  <definedNames>
    <definedName name="_xlnm.Print_Titles" localSheetId="1">APP基础测试!$1:$4</definedName>
    <definedName name="_xlnm.Print_Titles" localSheetId="2">UI操作逻辑!$1:$4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<sst xmlns="http://schemas.openxmlformats.org/spreadsheetml/2006/main" count="341" uniqueCount="234">
  <si>
    <t>Mathis 控制器测试清单</t>
  </si>
  <si>
    <t>范围：当前可执行的 UI Operational Logic V1.6 + APP 基础连接测试；。</t>
  </si>
  <si>
    <t>测试环境（执行前填写空白项）</t>
  </si>
  <si>
    <t>执行结果汇总</t>
  </si>
  <si>
    <t>控制器编号 / SN</t>
  </si>
  <si>
    <t>用例总数</t>
  </si>
  <si>
    <t>通过</t>
  </si>
  <si>
    <t>失败</t>
  </si>
  <si>
    <t>固件文件</t>
  </si>
  <si>
    <t>tw66gw02.hex</t>
  </si>
  <si>
    <t>测试时间</t>
  </si>
  <si>
    <t>测试版本</t>
  </si>
  <si>
    <t>v0.1</t>
  </si>
  <si>
    <t>Mathis APP 基础测试</t>
  </si>
  <si>
    <t>仅使用 APP测试；覆盖发现、连接、实时数据、通道映射、探针同步和重连。</t>
  </si>
  <si>
    <t>用例编号</t>
  </si>
  <si>
    <t>需求编号</t>
  </si>
  <si>
    <t>优先级</t>
  </si>
  <si>
    <t>测试项目</t>
  </si>
  <si>
    <t>前置条件</t>
  </si>
  <si>
    <t>详细步骤</t>
  </si>
  <si>
    <t>通过标准</t>
  </si>
  <si>
    <t>本轮可执行性</t>
  </si>
  <si>
    <t>实际结果</t>
  </si>
  <si>
    <t>结果</t>
  </si>
  <si>
    <t>证据/照片编号</t>
  </si>
  <si>
    <t>问题说明</t>
  </si>
  <si>
    <t>APP-01</t>
  </si>
  <si>
    <t>BLE基础</t>
  </si>
  <si>
    <t>P0</t>
  </si>
  <si>
    <t>APP 可发现控制器</t>
  </si>
  <si>
    <t>控制器已进入蓝牙配对模式；手机蓝牙开启。</t>
  </si>
  <si>
    <t>打开正式 APP 的添加/连接设备页面并开始搜索。</t>
  </si>
  <si>
    <t>APP 能在配对有效期内发现目标控制器；列表中不会把同一控制器重复显示为多个设备。</t>
  </si>
  <si>
    <t>可执行</t>
  </si>
  <si>
    <t>APP-02</t>
  </si>
  <si>
    <t>c/d</t>
  </si>
  <si>
    <t>APP 首次连接成功</t>
  </si>
  <si>
    <t>APP 已发现目标控制器。</t>
  </si>
  <si>
    <t>选择控制器并完成 APP 提示的连接流程。</t>
  </si>
  <si>
    <t>APP 进入已连接状态且无持续报错；控制器蓝牙图标由闪烁转为常亮。</t>
  </si>
  <si>
    <t>APP-03</t>
  </si>
  <si>
    <t>d</t>
  </si>
  <si>
    <t>连接状态双向一致</t>
  </si>
  <si>
    <t>APP 已连接。</t>
  </si>
  <si>
    <t>同时观察 APP 连接状态和控制器蓝牙图标 30 秒。</t>
  </si>
  <si>
    <t>APP 全程显示已连接，控制器蓝牙图标全程常亮；两端无一端已连、一端未连的不一致。</t>
  </si>
  <si>
    <t>APP-04</t>
  </si>
  <si>
    <t>BLE遥测</t>
  </si>
  <si>
    <t>实时温度自动更新</t>
  </si>
  <si>
    <t>APP 已连接，至少一路温度有效。</t>
  </si>
  <si>
    <t>轻微改变可安全改变的探针或主通道温度，观察 APP 2 分钟。</t>
  </si>
  <si>
    <t>APP 无需手动刷新即可持续更新温度；数值变化方向与控制器一致，无长时间冻结。</t>
  </si>
  <si>
    <t>APP-05</t>
  </si>
  <si>
    <t>f/g/h</t>
  </si>
  <si>
    <t>四路通道名称与映射</t>
  </si>
  <si>
    <t>APP 已连接；三路主温度有效，可插入探针。</t>
  </si>
  <si>
    <t>记录 Cavity、O/Left、D/Right；插入探针后记录 Probe。用控制器图标和环境温度变化辅助识别。</t>
  </si>
  <si>
    <t>APP 的 Cavity、Left/O、Right/D、Probe 不互换；探针未连接时 Probe 明确显示不可用而非旧值。</t>
  </si>
  <si>
    <t>APP-06</t>
  </si>
  <si>
    <t>APP 与控制器当前温度一致</t>
  </si>
  <si>
    <t>APP 已连接，控制器显示某一路有效温度。</t>
  </si>
  <si>
    <t>依次切换 O、D、Cavity 和 Probe；每次稳定后同时截图 APP 对应通道与控制器。</t>
  </si>
  <si>
    <t>同一通道在同一时刻显示数值一致；若 APP 固定用 °C，则按相同四舍五入规则换算后数字一致。</t>
  </si>
  <si>
    <t>APP-09</t>
  </si>
  <si>
    <t>g</t>
  </si>
  <si>
    <t>探针插拔在 APP 中同步</t>
  </si>
  <si>
    <t>插入探针并等待 APP 更新；记录温度后拔出探针。</t>
  </si>
  <si>
    <t>插入后 APP 出现有效 Probe 温度；拔出后 Probe 变为未连接/不可用，不继续显示旧的有效温度。</t>
  </si>
  <si>
    <t>APP-10</t>
  </si>
  <si>
    <t>k</t>
  </si>
  <si>
    <t>APP 断线和重连</t>
  </si>
  <si>
    <t>关闭手机蓝牙或强制结束 APP，确认断线；重新开启蓝牙和 APP 并重连。</t>
  </si>
  <si>
    <t>断线时控制器图标闪烁；重新连接成功后图标常亮，APP 恢复实时温度且无需重启控制器。</t>
  </si>
  <si>
    <t>APP-12</t>
  </si>
  <si>
    <t>P1</t>
  </si>
  <si>
    <t>控制器重启后重新连接</t>
  </si>
  <si>
    <t>APP 曾成功连接过控制器。</t>
  </si>
  <si>
    <t>正常关机再开机；重新进入配对并从 APP 连接。</t>
  </si>
  <si>
    <t>APP 能再次找到并连接同一控制器，连接后实时温度恢复。</t>
  </si>
  <si>
    <t>Mathis UI 操作逻辑测试</t>
  </si>
  <si>
    <t>依据 260323 Mathis UI Operational Logic V1.6</t>
  </si>
  <si>
    <t>UI-A-01</t>
  </si>
  <si>
    <t>a</t>
  </si>
  <si>
    <t>关机状态按下即开机</t>
  </si>
  <si>
    <t>控制器处于完全关机状态。</t>
  </si>
  <si>
    <t>按住电源键，不松开；观察按下后的屏幕响应。</t>
  </si>
  <si>
    <t>无需松开按键即可触发开机；LED 显示点亮，无反复重启或死机。</t>
  </si>
  <si>
    <t>UI-A-02</t>
  </si>
  <si>
    <t>a/f</t>
  </si>
  <si>
    <t>开机默认 D 表面显示</t>
  </si>
  <si>
    <t>主温度板已连接，D 通道有有效常温读数。</t>
  </si>
  <si>
    <t>开机后等待温度稳定，记录数字、单位和温度源图标。</t>
  </si>
  <si>
    <t>默认显示 D 表面温度；D 图标和当前单位图标点亮；数字可读，显示 LED 亮度正常且无缺段。</t>
  </si>
  <si>
    <t>UI-B-01</t>
  </si>
  <si>
    <t>b/h</t>
  </si>
  <si>
    <t>电源键短按不关机</t>
  </si>
  <si>
    <t>设备已开机并显示温度。</t>
  </si>
  <si>
    <t>短按电源键，持续时间小于 1 秒后松开。</t>
  </si>
  <si>
    <t>设备保持开机；仅切换温度读数来源，不得触发关机。</t>
  </si>
  <si>
    <t>UI-B-02</t>
  </si>
  <si>
    <t>b</t>
  </si>
  <si>
    <t>电源键按住满 1 秒关机</t>
  </si>
  <si>
    <t>设备已开机。</t>
  </si>
  <si>
    <t>持续按住电源键；用秒表观察到 1 秒时的显示状态，暂不松开。</t>
  </si>
  <si>
    <t>按住时间达到 1 秒后立即熄屏并进入关机流程，不需要先松开按键。</t>
  </si>
  <si>
    <t>UI-B-03</t>
  </si>
  <si>
    <t>任意状态强制关机</t>
  </si>
  <si>
    <t>分别使设备处于正常显示、蓝牙配对和 APP 已连接状态。</t>
  </si>
  <si>
    <t>每种状态下持续按住电源键至少 1 秒。</t>
  </si>
  <si>
    <t>三种状态均能关机；屏幕熄灭，蓝牙连接断开，重新扫描时设备不再保持原连接。</t>
  </si>
  <si>
    <t>UI-C-01</t>
  </si>
  <si>
    <t>c</t>
  </si>
  <si>
    <t>进入蓝牙配对模式</t>
  </si>
  <si>
    <t>设备开机，蓝牙当前关闭。</t>
  </si>
  <si>
    <t>持续按住蓝牙键至少 1 秒，在触发后松开。</t>
  </si>
  <si>
    <t>蓝牙开启并进入可连接状态；蓝牙图标开始闪烁。</t>
  </si>
  <si>
    <t>UI-C-02</t>
  </si>
  <si>
    <t>配对图标闪烁频率</t>
  </si>
  <si>
    <t>设备已进入蓝牙配对模式且尚未连接 APP。</t>
  </si>
  <si>
    <t>连续录像或计时 10 秒，统计蓝牙图标完整闪烁周期。</t>
  </si>
  <si>
    <t>蓝牙图标约以 1 Hz 闪烁，即约每 0.5 秒亮灭切换一次；10 秒内无明显停顿。</t>
  </si>
  <si>
    <t>UI-C-03</t>
  </si>
  <si>
    <t>配对 120 秒超时</t>
  </si>
  <si>
    <t>设备已进入配对模式，不打开 APP 或主动连接。</t>
  </si>
  <si>
    <t>从进入配对模式开始计时 120 秒，观察蓝牙图标和后续可发现状态。</t>
  </si>
  <si>
    <t>120 秒内保持配对闪烁；约 120 秒后蓝牙图标熄灭，蓝牙关闭。 耗时测试</t>
  </si>
  <si>
    <t>UI-D-01</t>
  </si>
  <si>
    <t>蓝牙连接成功指示</t>
  </si>
  <si>
    <t>设备处于配对模式，正式 APP 已打开。</t>
  </si>
  <si>
    <t>在 APP 中选择设备并完成连接，观察控制器蓝牙图标。</t>
  </si>
  <si>
    <t>APP 明确显示已连接；控制器蓝牙图标由闪烁转为常亮。</t>
  </si>
  <si>
    <t>UI-E-01</t>
  </si>
  <si>
    <t>e</t>
  </si>
  <si>
    <t>蓝牙键短按切换单位</t>
  </si>
  <si>
    <t>设备开机并显示有效温度。</t>
  </si>
  <si>
    <t>短按蓝牙键小于 1 秒；重复短按一次。</t>
  </si>
  <si>
    <t>首次短按在 °C 与 °F 间切换，数字同步换算；再次短按恢复原单位。</t>
  </si>
  <si>
    <t>UI-E-02</t>
  </si>
  <si>
    <t>摄氏/华氏图标互斥</t>
  </si>
  <si>
    <t>设备显示有效温度。</t>
  </si>
  <si>
    <t>分别切换到 °C 和 °F，观察两个单位图标。</t>
  </si>
  <si>
    <t>任一时刻仅当前单位图标点亮；切换后读数按 F=round(C×9/5+32) 对应，无两个图标同时点亮。</t>
  </si>
  <si>
    <t>UI-E-03</t>
  </si>
  <si>
    <t>单位掉电记忆</t>
  </si>
  <si>
    <t>先将单位切换为非默认的 °F。</t>
  </si>
  <si>
    <t>正常关机，再重新开机；记录单位。随后切回 °C 并重复一次。</t>
  </si>
  <si>
    <t>重启后保持关机前选择的单位，读数与单位图标一致。</t>
  </si>
  <si>
    <t>UI-F-01</t>
  </si>
  <si>
    <t>f</t>
  </si>
  <si>
    <t>默认温度来源正确</t>
  </si>
  <si>
    <t>三路主温度传感器工作正常且读数可区分。</t>
  </si>
  <si>
    <t>开机后不按温度切换键，等待读数稳定。</t>
  </si>
  <si>
    <t>显示 D 表面通道及 D 图标，不应默认显示 O、Cavity 或 Probe。</t>
  </si>
  <si>
    <t>UI-F-02</t>
  </si>
  <si>
    <t>温度读数稳定性</t>
  </si>
  <si>
    <t>设备在常温静置，传感器连接稳定。</t>
  </si>
  <si>
    <t>连续观察 2 分钟，记录每 10 秒的显示值和图标。</t>
  </si>
  <si>
    <t>读数无异常跳变、HI/LO/--- 误报或图标随机切换；变化应符合实际温度趋势。</t>
  </si>
  <si>
    <t>UI-G-01</t>
  </si>
  <si>
    <t>插入探针自动显示</t>
  </si>
  <si>
    <t>设备已开机，探针未插入至少 0.5 秒。</t>
  </si>
  <si>
    <t>将食品探针完全插入 3.5 mm 接口，等待读数确认。</t>
  </si>
  <si>
    <t>探针被识别后自动切换到 Probe；Probe 图标点亮，其他温度源图标熄灭并显示探针温度。</t>
  </si>
  <si>
    <t>UI-G-02</t>
  </si>
  <si>
    <t>拔出探针恢复主通道</t>
  </si>
  <si>
    <t>当前正在显示 Probe 温度。</t>
  </si>
  <si>
    <t>拔出探针并观察显示变化。</t>
  </si>
  <si>
    <t>Probe 图标熄灭；显示从 Probe 返回 D 表面，D 图标点亮，不持续显示旧探针值。</t>
  </si>
  <si>
    <t>UI-G-03</t>
  </si>
  <si>
    <t>g/h</t>
  </si>
  <si>
    <t>未连接探针不出现 Probe</t>
  </si>
  <si>
    <t>探针未插入。</t>
  </si>
  <si>
    <t>反复短按电源键，完整循环温度来源两轮。</t>
  </si>
  <si>
    <t>循环中不出现 Probe 图标或探针读数。</t>
  </si>
  <si>
    <t>UI-H-01</t>
  </si>
  <si>
    <t>h</t>
  </si>
  <si>
    <t>无探针时循环三个主通道</t>
  </si>
  <si>
    <t>设备开机，探针未连接，三路主温度有效。</t>
  </si>
  <si>
    <t>从默认 D 开始连续短按电源键并记录每一步图标和数值，直到回到 D。</t>
  </si>
  <si>
    <t>循环覆盖 D、Cavity、O 三个来源并回到 D；每次仅相应来源图标点亮。</t>
  </si>
  <si>
    <t>UI-H-02</t>
  </si>
  <si>
    <t>有探针时循环四个通道</t>
  </si>
  <si>
    <t>探针已连接且四路温度有效。</t>
  </si>
  <si>
    <t>从当前来源连续短按电源键，记录一整轮来源图标。</t>
  </si>
  <si>
    <t>一整轮包含 Probe、O、D、Cavity 四个来源，无遗漏或重复卡死；每个读数与对应图标匹配。</t>
  </si>
  <si>
    <t>UI-K-01</t>
  </si>
  <si>
    <t>已连接后断线与重连</t>
  </si>
  <si>
    <t>APP 已连接，蓝牙图标常亮。</t>
  </si>
  <si>
    <t>关闭手机蓝牙或强制断开 APP；观察控制器，再恢复蓝牙并由 APP 重连。</t>
  </si>
  <si>
    <t>断线后控制器蓝牙图标约 1 Hz 闪烁并持续尝试重连；重连成功后图标恢复常亮。</t>
  </si>
  <si>
    <t>UI-L-01</t>
  </si>
  <si>
    <t>l</t>
  </si>
  <si>
    <t>配对状态长按 1 秒关闭蓝牙</t>
  </si>
  <si>
    <t>设备在配对闪烁状态，尚未连接 APP。</t>
  </si>
  <si>
    <t>持续按住蓝牙键至少 1 秒。</t>
  </si>
  <si>
    <t>蓝牙立即关闭，图标熄灭；无需等待 10 秒。</t>
  </si>
  <si>
    <t>UI-L-02</t>
  </si>
  <si>
    <t>连接状态按住不足 10 秒不关闭</t>
  </si>
  <si>
    <t>按住蓝牙键 1–9 秒后松开。</t>
  </si>
  <si>
    <t>连接保持，蓝牙图标保持常亮，不得在 1 秒长按事件时错误关闭。</t>
  </si>
  <si>
    <t>UI-L-03</t>
  </si>
  <si>
    <t>连接状态按住 10 秒关闭蓝牙</t>
  </si>
  <si>
    <t>持续按住蓝牙键，计时达到 10 秒。</t>
  </si>
  <si>
    <t>达到 10 秒后蓝牙关闭、图标熄灭，APP 显示断开；设备屏幕其余功能保持正常。</t>
  </si>
  <si>
    <t>UI-M-01</t>
  </si>
  <si>
    <t>m</t>
  </si>
  <si>
    <t>60 分钟无操作自动关机</t>
  </si>
  <si>
    <t>设备开机，无 APP 连接；不按键、不插拔探针。</t>
  </si>
  <si>
    <t>启动计时并保持 60 分钟完全无交互。</t>
  </si>
  <si>
    <t>约 60 分钟后设备自动熄屏并关机，表现与正常关机一致。 耗时测试</t>
  </si>
  <si>
    <t>UI-M-02</t>
  </si>
  <si>
    <t>本地交互重置待机计时</t>
  </si>
  <si>
    <t>设备已无操作运行约 50 分钟。</t>
  </si>
  <si>
    <t>短按一次允许的按键或插拔探针；继续观察至少 15 分钟。</t>
  </si>
  <si>
    <t>交互后 10 分钟处不得按原计时自动关机；应从最后一次交互重新计算 60 分钟。 耗时测试</t>
  </si>
  <si>
    <t>UI-O-01</t>
  </si>
  <si>
    <t>o</t>
  </si>
  <si>
    <t>拆离面板且无探针显示 ---</t>
  </si>
  <si>
    <t>设备已开机，探针未连接，可安全拆离 fascia/温度板接口。</t>
  </si>
  <si>
    <t>将控制器从 fascia 拆离或断开三路主温度输入。</t>
  </si>
  <si>
    <t>三路主温度均不可用时显示 ---，温度源图标和温度条熄灭。</t>
  </si>
  <si>
    <t>UI-O-02</t>
  </si>
  <si>
    <t>拆离面板时探针继续工作</t>
  </si>
  <si>
    <t>先连接探针并确认 Probe 温度，再将控制器拆离 fascia。</t>
  </si>
  <si>
    <t>保持探针连接，断开主温度输入并观察。</t>
  </si>
  <si>
    <t>仍显示探针温度且 Probe 图标点亮，不应因主温度断开而显示 ---。</t>
  </si>
  <si>
    <t>耗时测试</t>
  </si>
  <si>
    <t>阻塞</t>
  </si>
  <si>
    <t>P2</t>
  </si>
  <si>
    <t>需设备</t>
  </si>
  <si>
    <t>不适用</t>
  </si>
  <si>
    <t>需APP支持</t>
  </si>
  <si>
    <t>需协议工具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</si>
</sst>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等线"/>
      <charset val="134"/>
      <scheme val="minor"/>
    </font>
    <font>
      <b/>
      <sz val="18"/>
      <color rgb="FFFFFFFF"/>
      <name val="等线"/>
      <charset val="134"/>
      <scheme val="minor"/>
    </font>
    <font>
      <sz val="10"/>
      <color rgb="FF203040"/>
      <name val="等线"/>
      <charset val="134"/>
      <scheme val="minor"/>
    </font>
    <font>
      <b/>
      <sz val="10"/>
      <color rgb="FFFFFFFF"/>
      <name val="Microsoft YaHei"/>
      <charset val="134"/>
    </font>
    <font>
      <sz val="10"/>
      <color theme="1"/>
      <name val="Microsoft YaHei"/>
      <charset val="134"/>
    </font>
    <font>
      <sz val="11"/>
      <color theme="1"/>
      <name val="Microsoft YaHei"/>
      <charset val="134"/>
    </font>
    <font>
      <b/>
      <sz val="11"/>
      <color rgb="FFFFFFFF"/>
      <name val="Microsoft YaHei"/>
      <charset val="134"/>
    </font>
    <font>
      <b/>
      <sz val="11"/>
      <color theme="1"/>
      <name val="Microsoft YaHei"/>
      <charset val="134"/>
    </font>
    <font>
      <b/>
      <sz val="16"/>
      <color theme="1"/>
      <name val="Microsoft YaHe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157A75"/>
        <bgColor indexed="64"/>
      </patternFill>
    </fill>
    <fill>
      <patternFill patternType="solid">
        <fgColor rgb="FF2E5E8C"/>
        <bgColor indexed="64"/>
      </patternFill>
    </fill>
    <fill>
      <patternFill patternType="solid">
        <fgColor rgb="FFE8F5F3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 style="thin">
        <color rgb="FFD5DEE5"/>
      </right>
      <top/>
      <bottom style="thin">
        <color rgb="FFD5DEE5"/>
      </bottom>
      <diagonal/>
    </border>
    <border>
      <left style="thin">
        <color rgb="FFD5DEE5"/>
      </left>
      <right style="thin">
        <color rgb="FFD5DEE5"/>
      </right>
      <top/>
      <bottom style="thin">
        <color rgb="FFD5DEE5"/>
      </bottom>
      <diagonal/>
    </border>
    <border>
      <left/>
      <right style="thin">
        <color rgb="FFD5DEE5"/>
      </right>
      <top style="thin">
        <color rgb="FFD5DEE5"/>
      </top>
      <bottom style="thin">
        <color rgb="FFD5DEE5"/>
      </bottom>
      <diagonal/>
    </border>
    <border>
      <left style="thin">
        <color rgb="FFD5DEE5"/>
      </left>
      <right style="thin">
        <color rgb="FFD5DEE5"/>
      </right>
      <top style="thin">
        <color rgb="FFD5DEE5"/>
      </top>
      <bottom style="thin">
        <color rgb="FFD5DEE5"/>
      </bottom>
      <diagonal/>
    </border>
    <border>
      <left/>
      <right style="thin">
        <color rgb="FFD5DEE5"/>
      </right>
      <top style="thin">
        <color rgb="FFD5DEE5"/>
      </top>
      <bottom/>
      <diagonal/>
    </border>
    <border>
      <left style="thin">
        <color rgb="FFD5DEE5"/>
      </left>
      <right style="thin">
        <color rgb="FFD5DEE5"/>
      </right>
      <top style="thin">
        <color rgb="FFD5DEE5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11" borderId="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2" borderId="10" applyNumberFormat="0" applyAlignment="0" applyProtection="0">
      <alignment vertical="center"/>
    </xf>
    <xf numFmtId="0" fontId="19" fillId="13" borderId="11" applyNumberFormat="0" applyAlignment="0" applyProtection="0">
      <alignment vertical="center"/>
    </xf>
    <xf numFmtId="0" fontId="20" fillId="13" borderId="10" applyNumberFormat="0" applyAlignment="0" applyProtection="0">
      <alignment vertical="center"/>
    </xf>
    <xf numFmtId="0" fontId="21" fillId="14" borderId="12" applyNumberFormat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3" fillId="4" borderId="1" xfId="0" applyFont="1" applyFill="1" applyBorder="1" applyAlignment="1">
      <alignment horizontal="center" vertical="top" wrapText="1"/>
    </xf>
    <xf numFmtId="0" fontId="3" fillId="4" borderId="2" xfId="0" applyFont="1" applyFill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4" fillId="0" borderId="4" xfId="0" applyFont="1" applyBorder="1" applyAlignment="1">
      <alignment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/>
    </xf>
    <xf numFmtId="0" fontId="4" fillId="0" borderId="6" xfId="0" applyFont="1" applyBorder="1" applyAlignment="1">
      <alignment horizontal="center" vertical="top"/>
    </xf>
    <xf numFmtId="0" fontId="4" fillId="0" borderId="6" xfId="0" applyFont="1" applyBorder="1" applyAlignment="1">
      <alignment vertical="top" wrapText="1"/>
    </xf>
    <xf numFmtId="0" fontId="4" fillId="0" borderId="6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>
      <alignment vertical="center"/>
    </xf>
    <xf numFmtId="0" fontId="6" fillId="4" borderId="0" xfId="0" applyFont="1" applyFill="1">
      <alignment vertical="center"/>
    </xf>
    <xf numFmtId="0" fontId="6" fillId="5" borderId="0" xfId="0" applyFont="1" applyFill="1">
      <alignment vertical="center"/>
    </xf>
    <xf numFmtId="0" fontId="7" fillId="3" borderId="4" xfId="0" applyFont="1" applyFill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7" fillId="6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center" vertical="center"/>
    </xf>
    <xf numFmtId="0" fontId="8" fillId="10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8">
    <dxf>
      <font>
        <name val="Microsoft YaHei"/>
        <scheme val="none"/>
        <charset val="134"/>
        <family val="2"/>
        <b val="0"/>
        <i val="0"/>
        <strike val="0"/>
        <u val="none"/>
        <sz val="10"/>
        <color theme="1"/>
      </font>
      <alignment horizontal="center" vertical="top"/>
      <border>
        <left/>
        <right style="thin">
          <color rgb="FFD5DEE5"/>
        </right>
        <top style="thin">
          <color rgb="FFD5DEE5"/>
        </top>
        <bottom style="thin">
          <color rgb="FFD5DEE5"/>
        </bottom>
      </border>
    </dxf>
    <dxf>
      <font>
        <name val="Microsoft YaHei"/>
        <scheme val="none"/>
        <charset val="134"/>
        <family val="2"/>
        <b val="0"/>
        <i val="0"/>
        <strike val="0"/>
        <u val="none"/>
        <sz val="10"/>
        <color theme="1"/>
      </font>
      <alignment horizontal="center" vertical="top"/>
      <border>
        <left style="thin">
          <color rgb="FFD5DEE5"/>
        </left>
        <right style="thin">
          <color rgb="FFD5DEE5"/>
        </right>
        <top style="thin">
          <color rgb="FFD5DEE5"/>
        </top>
        <bottom style="thin">
          <color rgb="FFD5DEE5"/>
        </bottom>
      </border>
    </dxf>
    <dxf>
      <font>
        <name val="Microsoft YaHei"/>
        <scheme val="none"/>
        <charset val="134"/>
        <family val="2"/>
        <b val="0"/>
        <i val="0"/>
        <strike val="0"/>
        <u val="none"/>
        <sz val="10"/>
        <color theme="1"/>
      </font>
      <alignment horizontal="center" vertical="top"/>
      <border>
        <left style="thin">
          <color rgb="FFD5DEE5"/>
        </left>
        <right style="thin">
          <color rgb="FFD5DEE5"/>
        </right>
        <top style="thin">
          <color rgb="FFD5DEE5"/>
        </top>
        <bottom style="thin">
          <color rgb="FFD5DEE5"/>
        </bottom>
      </border>
    </dxf>
    <dxf>
      <font>
        <name val="Microsoft YaHei"/>
        <scheme val="none"/>
        <charset val="134"/>
        <family val="2"/>
        <b val="0"/>
        <i val="0"/>
        <strike val="0"/>
        <u val="none"/>
        <sz val="10"/>
        <color theme="1"/>
      </font>
      <alignment vertical="top" wrapText="1"/>
      <border>
        <left style="thin">
          <color rgb="FFD5DEE5"/>
        </left>
        <right style="thin">
          <color rgb="FFD5DEE5"/>
        </right>
        <top style="thin">
          <color rgb="FFD5DEE5"/>
        </top>
        <bottom style="thin">
          <color rgb="FFD5DEE5"/>
        </bottom>
      </border>
    </dxf>
    <dxf>
      <font>
        <name val="Microsoft YaHei"/>
        <scheme val="none"/>
        <charset val="134"/>
        <family val="2"/>
        <b val="0"/>
        <i val="0"/>
        <strike val="0"/>
        <u val="none"/>
        <sz val="10"/>
        <color theme="1"/>
      </font>
      <alignment vertical="top" wrapText="1"/>
      <border>
        <left style="thin">
          <color rgb="FFD5DEE5"/>
        </left>
        <right style="thin">
          <color rgb="FFD5DEE5"/>
        </right>
        <top style="thin">
          <color rgb="FFD5DEE5"/>
        </top>
        <bottom style="thin">
          <color rgb="FFD5DEE5"/>
        </bottom>
      </border>
    </dxf>
    <dxf>
      <font>
        <name val="Microsoft YaHei"/>
        <scheme val="none"/>
        <charset val="134"/>
        <family val="2"/>
        <b val="0"/>
        <i val="0"/>
        <strike val="0"/>
        <u val="none"/>
        <sz val="10"/>
        <color theme="1"/>
      </font>
      <alignment vertical="top" wrapText="1"/>
      <border>
        <left style="thin">
          <color rgb="FFD5DEE5"/>
        </left>
        <right style="thin">
          <color rgb="FFD5DEE5"/>
        </right>
        <top style="thin">
          <color rgb="FFD5DEE5"/>
        </top>
        <bottom style="thin">
          <color rgb="FFD5DEE5"/>
        </bottom>
      </border>
    </dxf>
    <dxf>
      <font>
        <name val="Microsoft YaHei"/>
        <scheme val="none"/>
        <charset val="134"/>
        <family val="2"/>
        <b val="0"/>
        <i val="0"/>
        <strike val="0"/>
        <u val="none"/>
        <sz val="10"/>
        <color theme="1"/>
      </font>
      <alignment vertical="top" wrapText="1"/>
      <border>
        <left style="thin">
          <color rgb="FFD5DEE5"/>
        </left>
        <right style="thin">
          <color rgb="FFD5DEE5"/>
        </right>
        <top style="thin">
          <color rgb="FFD5DEE5"/>
        </top>
        <bottom style="thin">
          <color rgb="FFD5DEE5"/>
        </bottom>
      </border>
    </dxf>
    <dxf>
      <font>
        <name val="Microsoft YaHei"/>
        <scheme val="none"/>
        <charset val="134"/>
        <family val="2"/>
        <b val="0"/>
        <i val="0"/>
        <strike val="0"/>
        <u val="none"/>
        <sz val="10"/>
        <color theme="1"/>
      </font>
      <alignment horizontal="center" vertical="top" wrapText="1"/>
      <border>
        <left style="thin">
          <color rgb="FFD5DEE5"/>
        </left>
        <right style="thin">
          <color rgb="FFD5DEE5"/>
        </right>
        <top style="thin">
          <color rgb="FFD5DEE5"/>
        </top>
        <bottom style="thin">
          <color rgb="FFD5DEE5"/>
        </bottom>
      </border>
    </dxf>
    <dxf>
      <font>
        <name val="Microsoft YaHei"/>
        <scheme val="none"/>
        <charset val="134"/>
        <family val="2"/>
        <b val="0"/>
        <i val="0"/>
        <strike val="0"/>
        <u val="none"/>
        <sz val="10"/>
        <color theme="1"/>
      </font>
      <alignment vertical="top" wrapText="1"/>
      <border>
        <left style="thin">
          <color rgb="FFD5DEE5"/>
        </left>
        <right style="thin">
          <color rgb="FFD5DEE5"/>
        </right>
        <top style="thin">
          <color rgb="FFD5DEE5"/>
        </top>
        <bottom style="thin">
          <color rgb="FFD5DEE5"/>
        </bottom>
      </border>
    </dxf>
    <dxf>
      <font>
        <name val="Microsoft YaHei"/>
        <scheme val="none"/>
        <charset val="134"/>
        <family val="2"/>
        <b val="0"/>
        <i val="0"/>
        <strike val="0"/>
        <u val="none"/>
        <sz val="10"/>
        <color theme="1"/>
      </font>
      <alignment horizontal="center" vertical="top" wrapText="1"/>
      <border>
        <left style="thin">
          <color rgb="FFD5DEE5"/>
        </left>
        <right style="thin">
          <color rgb="FFD5DEE5"/>
        </right>
        <top style="thin">
          <color rgb="FFD5DEE5"/>
        </top>
        <bottom style="thin">
          <color rgb="FFD5DEE5"/>
        </bottom>
      </border>
    </dxf>
    <dxf>
      <font>
        <name val="Microsoft YaHei"/>
        <scheme val="none"/>
        <charset val="134"/>
        <family val="2"/>
        <b val="0"/>
        <i val="0"/>
        <strike val="0"/>
        <u val="none"/>
        <sz val="10"/>
        <color theme="1"/>
      </font>
      <alignment vertical="top" wrapText="1"/>
      <border>
        <left style="thin">
          <color rgb="FFD5DEE5"/>
        </left>
        <right style="thin">
          <color rgb="FFD5DEE5"/>
        </right>
        <top style="thin">
          <color rgb="FFD5DEE5"/>
        </top>
        <bottom style="thin">
          <color rgb="FFD5DEE5"/>
        </bottom>
      </border>
    </dxf>
    <dxf>
      <font>
        <name val="Microsoft YaHei"/>
        <scheme val="none"/>
        <charset val="134"/>
        <family val="2"/>
        <b val="0"/>
        <i val="0"/>
        <strike val="0"/>
        <u val="none"/>
        <sz val="10"/>
        <color theme="1"/>
      </font>
      <alignment vertical="top" wrapText="1"/>
      <border>
        <left style="thin">
          <color rgb="FFD5DEE5"/>
        </left>
        <right style="thin">
          <color rgb="FFD5DEE5"/>
        </right>
        <top style="thin">
          <color rgb="FFD5DEE5"/>
        </top>
        <bottom style="thin">
          <color rgb="FFD5DEE5"/>
        </bottom>
      </border>
    </dxf>
    <dxf>
      <font>
        <b val="1"/>
        <i val="0"/>
      </font>
      <fill>
        <patternFill patternType="solid">
          <bgColor rgb="FFD9EAD3"/>
        </patternFill>
      </fill>
    </dxf>
    <dxf>
      <font>
        <b val="1"/>
        <i val="0"/>
      </font>
      <fill>
        <patternFill patternType="solid">
          <bgColor rgb="FFF4CCCC"/>
        </patternFill>
      </fill>
    </dxf>
    <dxf>
      <font>
        <b val="1"/>
        <i val="0"/>
      </font>
      <fill>
        <patternFill patternType="solid">
          <bgColor rgb="FFFFF2CC"/>
        </patternFill>
      </fill>
    </dxf>
    <dxf>
      <font>
        <b val="1"/>
        <i val="0"/>
      </font>
      <fill>
        <patternFill patternType="solid">
          <bgColor rgb="FFE4DFEC"/>
        </patternFill>
      </fill>
    </dxf>
    <dxf>
      <font>
        <name val="Microsoft YaHei"/>
        <scheme val="none"/>
        <charset val="134"/>
        <family val="2"/>
        <b val="0"/>
        <i val="0"/>
        <strike val="0"/>
        <u val="none"/>
        <sz val="10"/>
        <color theme="1"/>
      </font>
      <alignment horizontal="center" vertical="top"/>
      <border>
        <left/>
        <right style="thin">
          <color rgb="FFD5DEE5"/>
        </right>
        <top style="thin">
          <color rgb="FFD5DEE5"/>
        </top>
        <bottom style="thin">
          <color rgb="FFD5DEE5"/>
        </bottom>
      </border>
    </dxf>
    <dxf>
      <font>
        <name val="Microsoft YaHei"/>
        <scheme val="none"/>
        <charset val="134"/>
        <family val="2"/>
        <b val="0"/>
        <i val="0"/>
        <strike val="0"/>
        <u val="none"/>
        <sz val="10"/>
        <color theme="1"/>
      </font>
      <alignment horizontal="center" vertical="top"/>
      <border>
        <left style="thin">
          <color rgb="FFD5DEE5"/>
        </left>
        <right style="thin">
          <color rgb="FFD5DEE5"/>
        </right>
        <top style="thin">
          <color rgb="FFD5DEE5"/>
        </top>
        <bottom style="thin">
          <color rgb="FFD5DEE5"/>
        </bottom>
      </border>
    </dxf>
    <dxf>
      <font>
        <name val="Microsoft YaHei"/>
        <scheme val="none"/>
        <charset val="134"/>
        <family val="2"/>
        <b val="0"/>
        <i val="0"/>
        <strike val="0"/>
        <u val="none"/>
        <sz val="10"/>
        <color theme="1"/>
      </font>
      <alignment horizontal="center" vertical="top"/>
      <border>
        <left style="thin">
          <color rgb="FFD5DEE5"/>
        </left>
        <right style="thin">
          <color rgb="FFD5DEE5"/>
        </right>
        <top style="thin">
          <color rgb="FFD5DEE5"/>
        </top>
        <bottom style="thin">
          <color rgb="FFD5DEE5"/>
        </bottom>
      </border>
    </dxf>
    <dxf>
      <font>
        <name val="Microsoft YaHei"/>
        <scheme val="none"/>
        <charset val="134"/>
        <family val="2"/>
        <b val="0"/>
        <i val="0"/>
        <strike val="0"/>
        <u val="none"/>
        <sz val="10"/>
        <color theme="1"/>
      </font>
      <alignment vertical="top" wrapText="1"/>
      <border>
        <left style="thin">
          <color rgb="FFD5DEE5"/>
        </left>
        <right style="thin">
          <color rgb="FFD5DEE5"/>
        </right>
        <top style="thin">
          <color rgb="FFD5DEE5"/>
        </top>
        <bottom style="thin">
          <color rgb="FFD5DEE5"/>
        </bottom>
      </border>
    </dxf>
    <dxf>
      <font>
        <name val="Microsoft YaHei"/>
        <scheme val="none"/>
        <charset val="134"/>
        <family val="2"/>
        <b val="0"/>
        <i val="0"/>
        <strike val="0"/>
        <u val="none"/>
        <sz val="10"/>
        <color theme="1"/>
      </font>
      <alignment vertical="top" wrapText="1"/>
      <border>
        <left style="thin">
          <color rgb="FFD5DEE5"/>
        </left>
        <right style="thin">
          <color rgb="FFD5DEE5"/>
        </right>
        <top style="thin">
          <color rgb="FFD5DEE5"/>
        </top>
        <bottom style="thin">
          <color rgb="FFD5DEE5"/>
        </bottom>
      </border>
    </dxf>
    <dxf>
      <font>
        <name val="Microsoft YaHei"/>
        <scheme val="none"/>
        <charset val="134"/>
        <family val="2"/>
        <b val="0"/>
        <i val="0"/>
        <strike val="0"/>
        <u val="none"/>
        <sz val="10"/>
        <color theme="1"/>
      </font>
      <alignment vertical="top" wrapText="1"/>
      <border>
        <left style="thin">
          <color rgb="FFD5DEE5"/>
        </left>
        <right style="thin">
          <color rgb="FFD5DEE5"/>
        </right>
        <top style="thin">
          <color rgb="FFD5DEE5"/>
        </top>
        <bottom style="thin">
          <color rgb="FFD5DEE5"/>
        </bottom>
      </border>
    </dxf>
    <dxf>
      <font>
        <name val="Microsoft YaHei"/>
        <scheme val="none"/>
        <charset val="134"/>
        <family val="2"/>
        <b val="0"/>
        <i val="0"/>
        <strike val="0"/>
        <u val="none"/>
        <sz val="10"/>
        <color theme="1"/>
      </font>
      <alignment vertical="top" wrapText="1"/>
      <border>
        <left style="thin">
          <color rgb="FFD5DEE5"/>
        </left>
        <right style="thin">
          <color rgb="FFD5DEE5"/>
        </right>
        <top style="thin">
          <color rgb="FFD5DEE5"/>
        </top>
        <bottom style="thin">
          <color rgb="FFD5DEE5"/>
        </bottom>
      </border>
    </dxf>
    <dxf>
      <font>
        <name val="Microsoft YaHei"/>
        <scheme val="none"/>
        <charset val="134"/>
        <family val="2"/>
        <b val="0"/>
        <i val="0"/>
        <strike val="0"/>
        <u val="none"/>
        <sz val="10"/>
        <color theme="1"/>
      </font>
      <alignment horizontal="center" vertical="top" wrapText="1"/>
      <border>
        <left style="thin">
          <color rgb="FFD5DEE5"/>
        </left>
        <right style="thin">
          <color rgb="FFD5DEE5"/>
        </right>
        <top style="thin">
          <color rgb="FFD5DEE5"/>
        </top>
        <bottom style="thin">
          <color rgb="FFD5DEE5"/>
        </bottom>
      </border>
    </dxf>
    <dxf>
      <font>
        <name val="Microsoft YaHei"/>
        <scheme val="none"/>
        <charset val="134"/>
        <family val="2"/>
        <b val="0"/>
        <i val="0"/>
        <strike val="0"/>
        <u val="none"/>
        <sz val="10"/>
        <color theme="1"/>
      </font>
      <alignment vertical="top" wrapText="1"/>
      <border>
        <left style="thin">
          <color rgb="FFD5DEE5"/>
        </left>
        <right style="thin">
          <color rgb="FFD5DEE5"/>
        </right>
        <top style="thin">
          <color rgb="FFD5DEE5"/>
        </top>
        <bottom style="thin">
          <color rgb="FFD5DEE5"/>
        </bottom>
      </border>
    </dxf>
    <dxf>
      <font>
        <name val="Microsoft YaHei"/>
        <scheme val="none"/>
        <charset val="134"/>
        <family val="2"/>
        <b val="0"/>
        <i val="0"/>
        <strike val="0"/>
        <u val="none"/>
        <sz val="10"/>
        <color theme="1"/>
      </font>
      <alignment horizontal="center" vertical="top" wrapText="1"/>
      <border>
        <left style="thin">
          <color rgb="FFD5DEE5"/>
        </left>
        <right style="thin">
          <color rgb="FFD5DEE5"/>
        </right>
        <top style="thin">
          <color rgb="FFD5DEE5"/>
        </top>
        <bottom style="thin">
          <color rgb="FFD5DEE5"/>
        </bottom>
      </border>
    </dxf>
    <dxf>
      <font>
        <name val="Microsoft YaHei"/>
        <scheme val="none"/>
        <charset val="134"/>
        <family val="2"/>
        <b val="0"/>
        <i val="0"/>
        <strike val="0"/>
        <u val="none"/>
        <sz val="10"/>
        <color theme="1"/>
      </font>
      <alignment vertical="top" wrapText="1"/>
      <border>
        <left style="thin">
          <color rgb="FFD5DEE5"/>
        </left>
        <right style="thin">
          <color rgb="FFD5DEE5"/>
        </right>
        <top style="thin">
          <color rgb="FFD5DEE5"/>
        </top>
        <bottom style="thin">
          <color rgb="FFD5DEE5"/>
        </bottom>
      </border>
    </dxf>
    <dxf>
      <font>
        <name val="Microsoft YaHei"/>
        <scheme val="none"/>
        <charset val="134"/>
        <family val="2"/>
        <b val="0"/>
        <i val="0"/>
        <strike val="0"/>
        <u val="none"/>
        <sz val="10"/>
        <color theme="1"/>
      </font>
      <alignment vertical="top" wrapText="1"/>
      <border>
        <left style="thin">
          <color rgb="FFD5DEE5"/>
        </left>
        <right style="thin">
          <color rgb="FFD5DEE5"/>
        </right>
        <top style="thin">
          <color rgb="FFD5DEE5"/>
        </top>
        <bottom style="thin">
          <color rgb="FFD5DEE5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AppSmokeTests" displayName="AppSmokeTests" ref="A4:L13" totalsRowShown="0">
  <autoFilter xmlns:etc="http://www.wps.cn/officeDocument/2017/etCustomData" ref="A4:L13" etc:filterBottomFollowUsedRange="0"/>
  <tableColumns count="12">
    <tableColumn id="1" name="用例编号" dataDxfId="0"/>
    <tableColumn id="2" name="需求编号" dataDxfId="1"/>
    <tableColumn id="3" name="优先级" dataDxfId="2"/>
    <tableColumn id="4" name="测试项目" dataDxfId="3"/>
    <tableColumn id="5" name="前置条件" dataDxfId="4"/>
    <tableColumn id="6" name="详细步骤" dataDxfId="5"/>
    <tableColumn id="7" name="通过标准" dataDxfId="6"/>
    <tableColumn id="8" name="本轮可执行性" dataDxfId="7"/>
    <tableColumn id="9" name="实际结果" dataDxfId="8"/>
    <tableColumn id="10" name="结果" dataDxfId="9"/>
    <tableColumn id="11" name="证据/照片编号" dataDxfId="10"/>
    <tableColumn id="12" name="问题说明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UiLogicTests" displayName="UiLogicTests" ref="A4:L31" totalsRowShown="0">
  <autoFilter xmlns:etc="http://www.wps.cn/officeDocument/2017/etCustomData" ref="A4:L31" etc:filterBottomFollowUsedRange="0"/>
  <tableColumns count="12">
    <tableColumn id="1" name="用例编号" dataDxfId="16"/>
    <tableColumn id="2" name="需求编号" dataDxfId="17"/>
    <tableColumn id="3" name="优先级" dataDxfId="18"/>
    <tableColumn id="4" name="测试项目" dataDxfId="19"/>
    <tableColumn id="5" name="前置条件" dataDxfId="20"/>
    <tableColumn id="6" name="详细步骤" dataDxfId="21"/>
    <tableColumn id="7" name="通过标准" dataDxfId="22"/>
    <tableColumn id="8" name="本轮可执行性" dataDxfId="23"/>
    <tableColumn id="9" name="实际结果" dataDxfId="24"/>
    <tableColumn id="10" name="结果" dataDxfId="25"/>
    <tableColumn id="11" name="证据/照片编号" dataDxfId="26"/>
    <tableColumn id="12" name="问题说明" dataDxfId="2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23"/>
  <sheetViews>
    <sheetView showGridLines="0" tabSelected="1" topLeftCell="B1" workbookViewId="0">
      <pane ySplit="3" topLeftCell="A4" activePane="bottomLeft" state="frozenSplit"/>
      <selection/>
      <selection pane="bottomLeft" activeCell="E6" sqref="E6"/>
    </sheetView>
  </sheetViews>
  <sheetFormatPr defaultColWidth="9" defaultRowHeight="14.1"/>
  <cols>
    <col min="1" max="1" width="4.64166666666667" customWidth="1"/>
    <col min="2" max="2" width="24.6416666666667" customWidth="1"/>
    <col min="3" max="3" width="50.6416666666667" customWidth="1"/>
    <col min="4" max="4" width="4.64166666666667" customWidth="1"/>
    <col min="5" max="10" width="18.6416666666667" customWidth="1"/>
  </cols>
  <sheetData>
    <row r="1" ht="32.05" customHeight="1" spans="1:10">
      <c r="A1" s="1" t="s">
        <v>0</v>
      </c>
      <c r="B1" s="15"/>
      <c r="C1" s="15"/>
      <c r="D1" s="15"/>
      <c r="E1" s="15"/>
      <c r="F1" s="15"/>
      <c r="G1" s="15"/>
      <c r="H1" s="15"/>
      <c r="I1" s="15"/>
      <c r="J1" s="15"/>
    </row>
    <row r="2" ht="34" customHeight="1" spans="1:10">
      <c r="A2" s="3" t="s">
        <v>1</v>
      </c>
      <c r="B2" s="16"/>
      <c r="C2" s="16"/>
      <c r="D2" s="16"/>
      <c r="E2" s="16"/>
      <c r="F2" s="16"/>
      <c r="G2" s="16"/>
      <c r="H2" s="16"/>
      <c r="I2" s="16"/>
      <c r="J2" s="16"/>
    </row>
    <row r="3" ht="16.25" spans="1:10">
      <c r="B3" s="17"/>
      <c r="C3" s="17"/>
      <c r="D3" s="17"/>
      <c r="E3" s="17"/>
      <c r="F3" s="17"/>
      <c r="G3" s="17"/>
      <c r="H3" s="17"/>
      <c r="I3" s="17"/>
      <c r="J3" s="17"/>
    </row>
    <row r="4" ht="16.25" spans="1:10">
      <c r="B4" s="18" t="s">
        <v>2</v>
      </c>
      <c r="C4" s="18"/>
      <c r="D4" s="17"/>
      <c r="E4" s="19" t="s">
        <v>3</v>
      </c>
      <c r="F4" s="19"/>
      <c r="G4" s="19"/>
      <c r="H4" s="19"/>
      <c r="I4" s="19"/>
      <c r="J4" s="19"/>
    </row>
    <row r="5" ht="30" customHeight="1" spans="1:10">
      <c r="B5" s="20" t="s">
        <v>4</v>
      </c>
      <c r="C5" s="21"/>
      <c r="D5" s="17"/>
      <c r="E5" s="22" t="s">
        <v>5</v>
      </c>
      <c r="F5" s="22" t="s">
        <v>6</v>
      </c>
      <c r="G5" s="22" t="s">
        <v>7</v>
      </c>
      <c r="H5" s="22"/>
      <c r="I5" s="22"/>
      <c r="J5" s="17"/>
    </row>
    <row r="6" ht="30" customHeight="1" spans="1:10">
      <c r="B6" s="20" t="s">
        <v>8</v>
      </c>
      <c r="C6" s="21" t="s">
        <v>9</v>
      </c>
      <c r="D6" s="17"/>
      <c r="E6" s="23">
        <f>COUNTA(UI操作逻辑!A5:A200)+COUNTA(APP基础测试!A5:A200)</f>
        <v>36</v>
      </c>
      <c r="F6" s="24">
        <f>COUNTIF(UI操作逻辑!J5:J200,"通过")+COUNTIF(APP基础测试!J5:J200,"通过")</f>
        <v>0</v>
      </c>
      <c r="G6" s="25">
        <f>COUNTIF(UI操作逻辑!J5:J200,"失败")+COUNTIF(APP基础测试!J5:J200,"失败")</f>
        <v>0</v>
      </c>
      <c r="H6" s="26"/>
      <c r="I6" s="27"/>
      <c r="J6" s="17"/>
    </row>
    <row r="7" ht="30" customHeight="1" spans="1:10">
      <c r="B7" s="20" t="s">
        <v>10</v>
      </c>
      <c r="C7" s="21"/>
      <c r="D7" s="17"/>
      <c r="E7" s="17"/>
      <c r="F7" s="17"/>
      <c r="G7" s="17"/>
      <c r="H7" s="17"/>
      <c r="I7" s="17"/>
      <c r="J7" s="17"/>
    </row>
    <row r="8" ht="30" customHeight="1" spans="1:10">
      <c r="B8" s="20" t="s">
        <v>11</v>
      </c>
      <c r="C8" s="21" t="s">
        <v>12</v>
      </c>
      <c r="D8" s="17"/>
      <c r="E8" s="17"/>
      <c r="F8" s="17"/>
      <c r="G8" s="17"/>
      <c r="H8" s="17"/>
      <c r="I8" s="17"/>
      <c r="J8" s="17"/>
    </row>
    <row r="9" ht="30" customHeight="1" spans="1:10">
      <c r="B9" s="20"/>
      <c r="C9" s="21"/>
      <c r="D9" s="17"/>
      <c r="E9" s="17"/>
      <c r="F9" s="17"/>
      <c r="G9" s="17"/>
      <c r="H9" s="17"/>
      <c r="I9" s="17"/>
      <c r="J9" s="17"/>
    </row>
    <row r="10" ht="30" customHeight="1" spans="1:10">
      <c r="B10" s="20"/>
      <c r="C10" s="21"/>
      <c r="D10" s="17"/>
      <c r="E10" s="17"/>
      <c r="F10" s="17"/>
      <c r="G10" s="17"/>
      <c r="H10" s="17"/>
      <c r="I10" s="17"/>
      <c r="J10" s="17"/>
    </row>
    <row r="11" ht="30" customHeight="1" spans="1:10">
      <c r="B11" s="20"/>
      <c r="C11" s="21"/>
      <c r="D11" s="17"/>
      <c r="E11" s="17"/>
      <c r="F11" s="17"/>
      <c r="G11" s="17"/>
      <c r="H11" s="17"/>
      <c r="I11" s="17"/>
      <c r="J11" s="17"/>
    </row>
    <row r="12" ht="30" customHeight="1" spans="1:10">
      <c r="B12" s="20"/>
      <c r="C12" s="21"/>
      <c r="D12" s="17"/>
      <c r="E12" s="17"/>
      <c r="F12" s="17"/>
      <c r="G12" s="17"/>
      <c r="H12" s="17"/>
      <c r="I12" s="17"/>
      <c r="J12" s="17"/>
    </row>
    <row r="13" ht="30" customHeight="1" spans="1:10">
      <c r="D13" s="17"/>
      <c r="E13" s="17"/>
      <c r="F13" s="17"/>
      <c r="G13" s="17"/>
      <c r="H13" s="17"/>
      <c r="I13" s="17"/>
      <c r="J13" s="17"/>
    </row>
    <row r="14" ht="30" customHeight="1" spans="1:10">
      <c r="D14" s="17"/>
    </row>
    <row r="15" ht="16.25" spans="1:10">
      <c r="B15" s="17"/>
      <c r="C15" s="17"/>
      <c r="D15" s="17"/>
    </row>
    <row r="18" ht="28" customHeight="1"/>
    <row r="19" ht="28" customHeight="1"/>
    <row r="20" ht="28" customHeight="1"/>
    <row r="21" ht="28" customHeight="1"/>
    <row r="22" ht="28" customHeight="1"/>
    <row r="23" ht="28" customHeight="1"/>
  </sheetData>
  <mergeCells count="4">
    <mergeCell ref="A1:J1"/>
    <mergeCell ref="A2:J2"/>
    <mergeCell ref="B4:C4"/>
    <mergeCell ref="E4:J4"/>
  </mergeCell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13"/>
  <sheetViews>
    <sheetView showGridLines="0" workbookViewId="0">
      <pane xSplit="3" ySplit="4" topLeftCell="D10" activePane="bottomRight" state="frozenSplit"/>
      <selection/>
      <selection pane="topRight"/>
      <selection pane="bottomLeft"/>
      <selection pane="bottomRight" activeCell="A2" sqref="A2:L2"/>
    </sheetView>
  </sheetViews>
  <sheetFormatPr defaultColWidth="9" defaultRowHeight="14.1"/>
  <cols>
    <col min="1" max="1" width="14.6416666666667" customWidth="1"/>
    <col min="2" max="2" width="11.6416666666667" customWidth="1"/>
    <col min="3" max="3" width="8.64166666666667" customWidth="1"/>
    <col min="4" max="4" width="24.6416666666667" customWidth="1"/>
    <col min="5" max="5" width="34.6416666666667" customWidth="1"/>
    <col min="6" max="7" width="58.6416666666667" customWidth="1"/>
    <col min="8" max="8" width="15.6416666666667" customWidth="1"/>
    <col min="9" max="9" width="32.6416666666667" customWidth="1"/>
    <col min="10" max="10" width="11.6416666666667" customWidth="1"/>
    <col min="11" max="11" width="18.6416666666667" customWidth="1"/>
    <col min="12" max="12" width="30.6416666666667" customWidth="1"/>
  </cols>
  <sheetData>
    <row r="1" ht="32.05" customHeight="1" spans="1:12">
      <c r="A1" s="1" t="s">
        <v>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34" customHeight="1" spans="1:12">
      <c r="A2" s="3" t="s">
        <v>14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4" ht="32.05" customHeight="1" spans="1:12">
      <c r="A4" s="5" t="s">
        <v>15</v>
      </c>
      <c r="B4" s="6" t="s">
        <v>16</v>
      </c>
      <c r="C4" s="6" t="s">
        <v>17</v>
      </c>
      <c r="D4" s="6" t="s">
        <v>18</v>
      </c>
      <c r="E4" s="6" t="s">
        <v>19</v>
      </c>
      <c r="F4" s="6" t="s">
        <v>20</v>
      </c>
      <c r="G4" s="6" t="s">
        <v>21</v>
      </c>
      <c r="H4" s="6" t="s">
        <v>22</v>
      </c>
      <c r="I4" s="6" t="s">
        <v>23</v>
      </c>
      <c r="J4" s="6" t="s">
        <v>24</v>
      </c>
      <c r="K4" s="6" t="s">
        <v>25</v>
      </c>
      <c r="L4" s="6" t="s">
        <v>26</v>
      </c>
    </row>
    <row r="5" ht="68.05" customHeight="1" spans="1:12">
      <c r="A5" s="7" t="s">
        <v>27</v>
      </c>
      <c r="B5" s="8" t="s">
        <v>28</v>
      </c>
      <c r="C5" s="8" t="s">
        <v>29</v>
      </c>
      <c r="D5" s="9" t="s">
        <v>30</v>
      </c>
      <c r="E5" s="9" t="s">
        <v>31</v>
      </c>
      <c r="F5" s="9" t="s">
        <v>32</v>
      </c>
      <c r="G5" s="9" t="s">
        <v>33</v>
      </c>
      <c r="H5" s="10" t="s">
        <v>34</v>
      </c>
      <c r="I5" s="9"/>
      <c r="J5" s="10"/>
      <c r="K5" s="9"/>
      <c r="L5" s="9"/>
    </row>
    <row r="6" ht="68.05" customHeight="1" spans="1:12">
      <c r="A6" s="7" t="s">
        <v>35</v>
      </c>
      <c r="B6" s="8" t="s">
        <v>36</v>
      </c>
      <c r="C6" s="8" t="s">
        <v>29</v>
      </c>
      <c r="D6" s="9" t="s">
        <v>37</v>
      </c>
      <c r="E6" s="9" t="s">
        <v>38</v>
      </c>
      <c r="F6" s="9" t="s">
        <v>39</v>
      </c>
      <c r="G6" s="9" t="s">
        <v>40</v>
      </c>
      <c r="H6" s="10" t="s">
        <v>34</v>
      </c>
      <c r="I6" s="9"/>
      <c r="J6" s="10"/>
      <c r="K6" s="9"/>
      <c r="L6" s="9"/>
    </row>
    <row r="7" ht="68.05" customHeight="1" spans="1:12">
      <c r="A7" s="7" t="s">
        <v>41</v>
      </c>
      <c r="B7" s="8" t="s">
        <v>42</v>
      </c>
      <c r="C7" s="8" t="s">
        <v>29</v>
      </c>
      <c r="D7" s="9" t="s">
        <v>43</v>
      </c>
      <c r="E7" s="9" t="s">
        <v>44</v>
      </c>
      <c r="F7" s="9" t="s">
        <v>45</v>
      </c>
      <c r="G7" s="9" t="s">
        <v>46</v>
      </c>
      <c r="H7" s="10" t="s">
        <v>34</v>
      </c>
      <c r="I7" s="9"/>
      <c r="J7" s="10"/>
      <c r="K7" s="9"/>
      <c r="L7" s="9"/>
    </row>
    <row r="8" ht="68.05" customHeight="1" spans="1:12">
      <c r="A8" s="7" t="s">
        <v>47</v>
      </c>
      <c r="B8" s="8" t="s">
        <v>48</v>
      </c>
      <c r="C8" s="8" t="s">
        <v>29</v>
      </c>
      <c r="D8" s="9" t="s">
        <v>49</v>
      </c>
      <c r="E8" s="9" t="s">
        <v>50</v>
      </c>
      <c r="F8" s="9" t="s">
        <v>51</v>
      </c>
      <c r="G8" s="9" t="s">
        <v>52</v>
      </c>
      <c r="H8" s="10" t="s">
        <v>34</v>
      </c>
      <c r="I8" s="9"/>
      <c r="J8" s="10"/>
      <c r="K8" s="9"/>
      <c r="L8" s="9"/>
    </row>
    <row r="9" ht="68.05" customHeight="1" spans="1:12">
      <c r="A9" s="7" t="s">
        <v>53</v>
      </c>
      <c r="B9" s="8" t="s">
        <v>54</v>
      </c>
      <c r="C9" s="8" t="s">
        <v>29</v>
      </c>
      <c r="D9" s="9" t="s">
        <v>55</v>
      </c>
      <c r="E9" s="9" t="s">
        <v>56</v>
      </c>
      <c r="F9" s="9" t="s">
        <v>57</v>
      </c>
      <c r="G9" s="9" t="s">
        <v>58</v>
      </c>
      <c r="H9" s="10" t="s">
        <v>34</v>
      </c>
      <c r="I9" s="9"/>
      <c r="J9" s="10"/>
      <c r="K9" s="9"/>
      <c r="L9" s="9"/>
    </row>
    <row r="10" ht="68.05" customHeight="1" spans="1:12">
      <c r="A10" s="7" t="s">
        <v>59</v>
      </c>
      <c r="B10" s="8" t="s">
        <v>54</v>
      </c>
      <c r="C10" s="8" t="s">
        <v>29</v>
      </c>
      <c r="D10" s="9" t="s">
        <v>60</v>
      </c>
      <c r="E10" s="9" t="s">
        <v>61</v>
      </c>
      <c r="F10" s="9" t="s">
        <v>62</v>
      </c>
      <c r="G10" s="9" t="s">
        <v>63</v>
      </c>
      <c r="H10" s="10" t="s">
        <v>34</v>
      </c>
      <c r="I10" s="9"/>
      <c r="J10" s="10"/>
      <c r="K10" s="9"/>
      <c r="L10" s="9"/>
    </row>
    <row r="11" ht="68.05" customHeight="1" spans="1:12">
      <c r="A11" s="7" t="s">
        <v>64</v>
      </c>
      <c r="B11" s="8" t="s">
        <v>65</v>
      </c>
      <c r="C11" s="8" t="s">
        <v>29</v>
      </c>
      <c r="D11" s="9" t="s">
        <v>66</v>
      </c>
      <c r="E11" s="9" t="s">
        <v>44</v>
      </c>
      <c r="F11" s="9" t="s">
        <v>67</v>
      </c>
      <c r="G11" s="9" t="s">
        <v>68</v>
      </c>
      <c r="H11" s="10" t="s">
        <v>34</v>
      </c>
      <c r="I11" s="9"/>
      <c r="J11" s="10"/>
      <c r="K11" s="9"/>
      <c r="L11" s="9"/>
    </row>
    <row r="12" ht="68.05" customHeight="1" spans="1:12">
      <c r="A12" s="7" t="s">
        <v>69</v>
      </c>
      <c r="B12" s="8" t="s">
        <v>70</v>
      </c>
      <c r="C12" s="8" t="s">
        <v>29</v>
      </c>
      <c r="D12" s="9" t="s">
        <v>71</v>
      </c>
      <c r="E12" s="9" t="s">
        <v>44</v>
      </c>
      <c r="F12" s="9" t="s">
        <v>72</v>
      </c>
      <c r="G12" s="9" t="s">
        <v>73</v>
      </c>
      <c r="H12" s="10" t="s">
        <v>34</v>
      </c>
      <c r="I12" s="9"/>
      <c r="J12" s="10"/>
      <c r="K12" s="9"/>
      <c r="L12" s="9"/>
    </row>
    <row r="13" ht="68.05" customHeight="1" spans="1:12">
      <c r="A13" s="11" t="s">
        <v>74</v>
      </c>
      <c r="B13" s="12" t="s">
        <v>28</v>
      </c>
      <c r="C13" s="12" t="s">
        <v>75</v>
      </c>
      <c r="D13" s="13" t="s">
        <v>76</v>
      </c>
      <c r="E13" s="13" t="s">
        <v>77</v>
      </c>
      <c r="F13" s="13" t="s">
        <v>78</v>
      </c>
      <c r="G13" s="13" t="s">
        <v>79</v>
      </c>
      <c r="H13" s="14" t="s">
        <v>34</v>
      </c>
      <c r="I13" s="13"/>
      <c r="J13" s="14"/>
      <c r="K13" s="13"/>
      <c r="L13" s="13"/>
    </row>
  </sheetData>
  <mergeCells count="2">
    <mergeCell ref="A1:L1"/>
    <mergeCell ref="A2:L2"/>
  </mergeCells>
  <conditionalFormatting sqref="J5:J13">
    <cfRule type="cellIs" dxfId="12" priority="1" stopIfTrue="1" operator="equal">
      <formula>"通过"</formula>
    </cfRule>
    <cfRule type="cellIs" dxfId="13" priority="2" stopIfTrue="1" operator="equal">
      <formula>"失败"</formula>
    </cfRule>
    <cfRule type="cellIs" dxfId="14" priority="3" stopIfTrue="1" operator="equal">
      <formula>"阻塞"</formula>
    </cfRule>
    <cfRule type="cellIs" dxfId="15" priority="4" stopIfTrue="1" operator="equal">
      <formula>"不适用"</formula>
    </cfRule>
  </conditionalFormatting>
  <dataValidations count="3">
    <dataValidation type="list" allowBlank="1" showInputMessage="1" showErrorMessage="1" sqref="C5:C13">
      <formula1>验证列表!$B$1:$B$3</formula1>
    </dataValidation>
    <dataValidation type="list" allowBlank="1" showInputMessage="1" showErrorMessage="1" sqref="H5:H13">
      <formula1>验证列表!$C$1:$C$5</formula1>
    </dataValidation>
    <dataValidation type="list" allowBlank="1" showInputMessage="1" showErrorMessage="1" sqref="J5:J13">
      <formula1>验证列表!$A$1:$A$4</formula1>
    </dataValidation>
  </dataValidations>
  <pageMargins left="0.7" right="0.7" top="0.75" bottom="0.75" header="0.3" footer="0.3"/>
  <pageSetup paperSize="9" scale="38" fitToHeight="0" orientation="landscape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31"/>
  <sheetViews>
    <sheetView showGridLines="0" workbookViewId="0">
      <pane xSplit="3" ySplit="4" topLeftCell="D29" activePane="bottomRight" state="frozenSplit"/>
      <selection/>
      <selection pane="topRight"/>
      <selection pane="bottomLeft"/>
      <selection pane="bottomRight" activeCell="M3" sqref="M$1:M$1048576"/>
    </sheetView>
  </sheetViews>
  <sheetFormatPr defaultColWidth="9" defaultRowHeight="14.1"/>
  <cols>
    <col min="1" max="1" width="14.6416666666667" customWidth="1"/>
    <col min="2" max="2" width="11.6416666666667" customWidth="1"/>
    <col min="3" max="3" width="8.64166666666667" customWidth="1"/>
    <col min="4" max="4" width="24.6416666666667" customWidth="1"/>
    <col min="5" max="5" width="34.6416666666667" customWidth="1"/>
    <col min="6" max="7" width="58.6416666666667" customWidth="1"/>
    <col min="8" max="8" width="15.6416666666667" customWidth="1"/>
    <col min="9" max="9" width="32.6416666666667" customWidth="1"/>
    <col min="10" max="10" width="11.6416666666667" customWidth="1"/>
    <col min="11" max="11" width="18.6416666666667" customWidth="1"/>
    <col min="12" max="12" width="30.6416666666667" customWidth="1"/>
  </cols>
  <sheetData>
    <row r="1" ht="32.05" customHeight="1" spans="1:12">
      <c r="A1" s="1" t="s">
        <v>80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34" customHeight="1" spans="1:12">
      <c r="A2" s="3" t="s">
        <v>81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4" ht="32.05" customHeight="1" spans="1:12">
      <c r="A4" s="5" t="s">
        <v>15</v>
      </c>
      <c r="B4" s="6" t="s">
        <v>16</v>
      </c>
      <c r="C4" s="6" t="s">
        <v>17</v>
      </c>
      <c r="D4" s="6" t="s">
        <v>18</v>
      </c>
      <c r="E4" s="6" t="s">
        <v>19</v>
      </c>
      <c r="F4" s="6" t="s">
        <v>20</v>
      </c>
      <c r="G4" s="6" t="s">
        <v>21</v>
      </c>
      <c r="H4" s="6" t="s">
        <v>22</v>
      </c>
      <c r="I4" s="6" t="s">
        <v>23</v>
      </c>
      <c r="J4" s="6" t="s">
        <v>24</v>
      </c>
      <c r="K4" s="6" t="s">
        <v>25</v>
      </c>
      <c r="L4" s="6" t="s">
        <v>26</v>
      </c>
    </row>
    <row r="5" ht="68.05" customHeight="1" spans="1:12">
      <c r="A5" s="7" t="s">
        <v>82</v>
      </c>
      <c r="B5" s="8" t="s">
        <v>83</v>
      </c>
      <c r="C5" s="8" t="s">
        <v>29</v>
      </c>
      <c r="D5" s="9" t="s">
        <v>84</v>
      </c>
      <c r="E5" s="9" t="s">
        <v>85</v>
      </c>
      <c r="F5" s="9" t="s">
        <v>86</v>
      </c>
      <c r="G5" s="9" t="s">
        <v>87</v>
      </c>
      <c r="H5" s="10" t="s">
        <v>34</v>
      </c>
      <c r="I5" s="9"/>
      <c r="J5" s="10"/>
      <c r="K5" s="9"/>
      <c r="L5" s="9"/>
    </row>
    <row r="6" ht="68.05" customHeight="1" spans="1:12">
      <c r="A6" s="7" t="s">
        <v>88</v>
      </c>
      <c r="B6" s="8" t="s">
        <v>89</v>
      </c>
      <c r="C6" s="8" t="s">
        <v>29</v>
      </c>
      <c r="D6" s="9" t="s">
        <v>90</v>
      </c>
      <c r="E6" s="9" t="s">
        <v>91</v>
      </c>
      <c r="F6" s="9" t="s">
        <v>92</v>
      </c>
      <c r="G6" s="9" t="s">
        <v>93</v>
      </c>
      <c r="H6" s="10" t="s">
        <v>34</v>
      </c>
      <c r="I6" s="9"/>
      <c r="J6" s="10"/>
      <c r="K6" s="9"/>
      <c r="L6" s="9"/>
    </row>
    <row r="7" ht="68.05" customHeight="1" spans="1:12">
      <c r="A7" s="7" t="s">
        <v>94</v>
      </c>
      <c r="B7" s="8" t="s">
        <v>95</v>
      </c>
      <c r="C7" s="8" t="s">
        <v>29</v>
      </c>
      <c r="D7" s="9" t="s">
        <v>96</v>
      </c>
      <c r="E7" s="9" t="s">
        <v>97</v>
      </c>
      <c r="F7" s="9" t="s">
        <v>98</v>
      </c>
      <c r="G7" s="9" t="s">
        <v>99</v>
      </c>
      <c r="H7" s="10" t="s">
        <v>34</v>
      </c>
      <c r="I7" s="9"/>
      <c r="J7" s="10"/>
      <c r="K7" s="9"/>
      <c r="L7" s="9"/>
    </row>
    <row r="8" ht="68.05" customHeight="1" spans="1:12">
      <c r="A8" s="7" t="s">
        <v>100</v>
      </c>
      <c r="B8" s="8" t="s">
        <v>101</v>
      </c>
      <c r="C8" s="8" t="s">
        <v>29</v>
      </c>
      <c r="D8" s="9" t="s">
        <v>102</v>
      </c>
      <c r="E8" s="9" t="s">
        <v>103</v>
      </c>
      <c r="F8" s="9" t="s">
        <v>104</v>
      </c>
      <c r="G8" s="9" t="s">
        <v>105</v>
      </c>
      <c r="H8" s="10" t="s">
        <v>34</v>
      </c>
      <c r="I8" s="9"/>
      <c r="J8" s="10"/>
      <c r="K8" s="9"/>
      <c r="L8" s="9"/>
    </row>
    <row r="9" ht="68.05" customHeight="1" spans="1:12">
      <c r="A9" s="7" t="s">
        <v>106</v>
      </c>
      <c r="B9" s="8" t="s">
        <v>101</v>
      </c>
      <c r="C9" s="8" t="s">
        <v>29</v>
      </c>
      <c r="D9" s="9" t="s">
        <v>107</v>
      </c>
      <c r="E9" s="9" t="s">
        <v>108</v>
      </c>
      <c r="F9" s="9" t="s">
        <v>109</v>
      </c>
      <c r="G9" s="9" t="s">
        <v>110</v>
      </c>
      <c r="H9" s="10" t="s">
        <v>34</v>
      </c>
      <c r="I9" s="9"/>
      <c r="J9" s="10"/>
      <c r="K9" s="9"/>
      <c r="L9" s="9"/>
    </row>
    <row r="10" ht="68.05" customHeight="1" spans="1:12">
      <c r="A10" s="7" t="s">
        <v>111</v>
      </c>
      <c r="B10" s="8" t="s">
        <v>112</v>
      </c>
      <c r="C10" s="8" t="s">
        <v>29</v>
      </c>
      <c r="D10" s="9" t="s">
        <v>113</v>
      </c>
      <c r="E10" s="9" t="s">
        <v>114</v>
      </c>
      <c r="F10" s="9" t="s">
        <v>115</v>
      </c>
      <c r="G10" s="9" t="s">
        <v>116</v>
      </c>
      <c r="H10" s="10" t="s">
        <v>34</v>
      </c>
      <c r="I10" s="9"/>
      <c r="J10" s="10"/>
      <c r="K10" s="9"/>
      <c r="L10" s="9"/>
    </row>
    <row r="11" ht="68.05" customHeight="1" spans="1:12">
      <c r="A11" s="7" t="s">
        <v>117</v>
      </c>
      <c r="B11" s="8" t="s">
        <v>112</v>
      </c>
      <c r="C11" s="8" t="s">
        <v>75</v>
      </c>
      <c r="D11" s="9" t="s">
        <v>118</v>
      </c>
      <c r="E11" s="9" t="s">
        <v>119</v>
      </c>
      <c r="F11" s="9" t="s">
        <v>120</v>
      </c>
      <c r="G11" s="9" t="s">
        <v>121</v>
      </c>
      <c r="H11" s="10" t="s">
        <v>34</v>
      </c>
      <c r="I11" s="9"/>
      <c r="J11" s="10"/>
      <c r="K11" s="9"/>
      <c r="L11" s="9"/>
    </row>
    <row r="12" ht="68.05" customHeight="1" spans="1:12">
      <c r="A12" s="7" t="s">
        <v>122</v>
      </c>
      <c r="B12" s="8" t="s">
        <v>112</v>
      </c>
      <c r="C12" s="8" t="s">
        <v>29</v>
      </c>
      <c r="D12" s="9" t="s">
        <v>123</v>
      </c>
      <c r="E12" s="9" t="s">
        <v>124</v>
      </c>
      <c r="F12" s="9" t="s">
        <v>125</v>
      </c>
      <c r="G12" s="9" t="s">
        <v>126</v>
      </c>
      <c r="H12" s="10" t="s">
        <v>34</v>
      </c>
      <c r="I12" s="9"/>
      <c r="J12" s="10"/>
      <c r="K12" s="9"/>
      <c r="L12" s="9"/>
    </row>
    <row r="13" ht="68.05" customHeight="1" spans="1:12">
      <c r="A13" s="7" t="s">
        <v>127</v>
      </c>
      <c r="B13" s="8" t="s">
        <v>42</v>
      </c>
      <c r="C13" s="8" t="s">
        <v>29</v>
      </c>
      <c r="D13" s="9" t="s">
        <v>128</v>
      </c>
      <c r="E13" s="9" t="s">
        <v>129</v>
      </c>
      <c r="F13" s="9" t="s">
        <v>130</v>
      </c>
      <c r="G13" s="9" t="s">
        <v>131</v>
      </c>
      <c r="H13" s="10" t="s">
        <v>34</v>
      </c>
      <c r="I13" s="9"/>
      <c r="J13" s="10"/>
      <c r="K13" s="9"/>
      <c r="L13" s="9"/>
    </row>
    <row r="14" ht="68.05" customHeight="1" spans="1:12">
      <c r="A14" s="7" t="s">
        <v>132</v>
      </c>
      <c r="B14" s="8" t="s">
        <v>133</v>
      </c>
      <c r="C14" s="8" t="s">
        <v>29</v>
      </c>
      <c r="D14" s="9" t="s">
        <v>134</v>
      </c>
      <c r="E14" s="9" t="s">
        <v>135</v>
      </c>
      <c r="F14" s="9" t="s">
        <v>136</v>
      </c>
      <c r="G14" s="9" t="s">
        <v>137</v>
      </c>
      <c r="H14" s="10" t="s">
        <v>34</v>
      </c>
      <c r="I14" s="9"/>
      <c r="J14" s="10"/>
      <c r="K14" s="9"/>
      <c r="L14" s="9"/>
    </row>
    <row r="15" ht="68.05" customHeight="1" spans="1:12">
      <c r="A15" s="7" t="s">
        <v>138</v>
      </c>
      <c r="B15" s="8" t="s">
        <v>133</v>
      </c>
      <c r="C15" s="8" t="s">
        <v>75</v>
      </c>
      <c r="D15" s="9" t="s">
        <v>139</v>
      </c>
      <c r="E15" s="9" t="s">
        <v>140</v>
      </c>
      <c r="F15" s="9" t="s">
        <v>141</v>
      </c>
      <c r="G15" s="9" t="s">
        <v>142</v>
      </c>
      <c r="H15" s="10" t="s">
        <v>34</v>
      </c>
      <c r="I15" s="9"/>
      <c r="J15" s="10"/>
      <c r="K15" s="9"/>
      <c r="L15" s="9"/>
    </row>
    <row r="16" ht="68.05" customHeight="1" spans="1:12">
      <c r="A16" s="7" t="s">
        <v>143</v>
      </c>
      <c r="B16" s="8" t="s">
        <v>133</v>
      </c>
      <c r="C16" s="8" t="s">
        <v>29</v>
      </c>
      <c r="D16" s="9" t="s">
        <v>144</v>
      </c>
      <c r="E16" s="9" t="s">
        <v>145</v>
      </c>
      <c r="F16" s="9" t="s">
        <v>146</v>
      </c>
      <c r="G16" s="9" t="s">
        <v>147</v>
      </c>
      <c r="H16" s="10" t="s">
        <v>34</v>
      </c>
      <c r="I16" s="9"/>
      <c r="J16" s="10"/>
      <c r="K16" s="9"/>
      <c r="L16" s="9"/>
    </row>
    <row r="17" ht="68.05" customHeight="1" spans="1:12">
      <c r="A17" s="7" t="s">
        <v>148</v>
      </c>
      <c r="B17" s="8" t="s">
        <v>149</v>
      </c>
      <c r="C17" s="8" t="s">
        <v>29</v>
      </c>
      <c r="D17" s="9" t="s">
        <v>150</v>
      </c>
      <c r="E17" s="9" t="s">
        <v>151</v>
      </c>
      <c r="F17" s="9" t="s">
        <v>152</v>
      </c>
      <c r="G17" s="9" t="s">
        <v>153</v>
      </c>
      <c r="H17" s="10" t="s">
        <v>34</v>
      </c>
      <c r="I17" s="9"/>
      <c r="J17" s="10"/>
      <c r="K17" s="9"/>
      <c r="L17" s="9"/>
    </row>
    <row r="18" ht="68.05" customHeight="1" spans="1:12">
      <c r="A18" s="7" t="s">
        <v>154</v>
      </c>
      <c r="B18" s="8" t="s">
        <v>149</v>
      </c>
      <c r="C18" s="8" t="s">
        <v>75</v>
      </c>
      <c r="D18" s="9" t="s">
        <v>155</v>
      </c>
      <c r="E18" s="9" t="s">
        <v>156</v>
      </c>
      <c r="F18" s="9" t="s">
        <v>157</v>
      </c>
      <c r="G18" s="9" t="s">
        <v>158</v>
      </c>
      <c r="H18" s="10" t="s">
        <v>34</v>
      </c>
      <c r="I18" s="9"/>
      <c r="J18" s="10"/>
      <c r="K18" s="9"/>
      <c r="L18" s="9"/>
    </row>
    <row r="19" ht="68.05" customHeight="1" spans="1:12">
      <c r="A19" s="7" t="s">
        <v>159</v>
      </c>
      <c r="B19" s="8" t="s">
        <v>65</v>
      </c>
      <c r="C19" s="8" t="s">
        <v>29</v>
      </c>
      <c r="D19" s="9" t="s">
        <v>160</v>
      </c>
      <c r="E19" s="9" t="s">
        <v>161</v>
      </c>
      <c r="F19" s="9" t="s">
        <v>162</v>
      </c>
      <c r="G19" s="9" t="s">
        <v>163</v>
      </c>
      <c r="H19" s="10" t="s">
        <v>34</v>
      </c>
      <c r="I19" s="9"/>
      <c r="J19" s="10"/>
      <c r="K19" s="9"/>
      <c r="L19" s="9"/>
    </row>
    <row r="20" ht="68.05" customHeight="1" spans="1:12">
      <c r="A20" s="7" t="s">
        <v>164</v>
      </c>
      <c r="B20" s="8" t="s">
        <v>65</v>
      </c>
      <c r="C20" s="8" t="s">
        <v>29</v>
      </c>
      <c r="D20" s="9" t="s">
        <v>165</v>
      </c>
      <c r="E20" s="9" t="s">
        <v>166</v>
      </c>
      <c r="F20" s="9" t="s">
        <v>167</v>
      </c>
      <c r="G20" s="9" t="s">
        <v>168</v>
      </c>
      <c r="H20" s="10" t="s">
        <v>34</v>
      </c>
      <c r="I20" s="9"/>
      <c r="J20" s="10"/>
      <c r="K20" s="9"/>
      <c r="L20" s="9"/>
    </row>
    <row r="21" ht="68.05" customHeight="1" spans="1:12">
      <c r="A21" s="7" t="s">
        <v>169</v>
      </c>
      <c r="B21" s="8" t="s">
        <v>170</v>
      </c>
      <c r="C21" s="8" t="s">
        <v>75</v>
      </c>
      <c r="D21" s="9" t="s">
        <v>171</v>
      </c>
      <c r="E21" s="9" t="s">
        <v>172</v>
      </c>
      <c r="F21" s="9" t="s">
        <v>173</v>
      </c>
      <c r="G21" s="9" t="s">
        <v>174</v>
      </c>
      <c r="H21" s="10" t="s">
        <v>34</v>
      </c>
      <c r="I21" s="9"/>
      <c r="J21" s="10"/>
      <c r="K21" s="9"/>
      <c r="L21" s="9"/>
    </row>
    <row r="22" ht="68.05" customHeight="1" spans="1:12">
      <c r="A22" s="7" t="s">
        <v>175</v>
      </c>
      <c r="B22" s="8" t="s">
        <v>176</v>
      </c>
      <c r="C22" s="8" t="s">
        <v>29</v>
      </c>
      <c r="D22" s="9" t="s">
        <v>177</v>
      </c>
      <c r="E22" s="9" t="s">
        <v>178</v>
      </c>
      <c r="F22" s="9" t="s">
        <v>179</v>
      </c>
      <c r="G22" s="9" t="s">
        <v>180</v>
      </c>
      <c r="H22" s="10" t="s">
        <v>34</v>
      </c>
      <c r="I22" s="9"/>
      <c r="J22" s="10"/>
      <c r="K22" s="9"/>
      <c r="L22" s="9"/>
    </row>
    <row r="23" ht="68.05" customHeight="1" spans="1:12">
      <c r="A23" s="7" t="s">
        <v>181</v>
      </c>
      <c r="B23" s="8" t="s">
        <v>176</v>
      </c>
      <c r="C23" s="8" t="s">
        <v>29</v>
      </c>
      <c r="D23" s="9" t="s">
        <v>182</v>
      </c>
      <c r="E23" s="9" t="s">
        <v>183</v>
      </c>
      <c r="F23" s="9" t="s">
        <v>184</v>
      </c>
      <c r="G23" s="9" t="s">
        <v>185</v>
      </c>
      <c r="H23" s="10" t="s">
        <v>34</v>
      </c>
      <c r="I23" s="9"/>
      <c r="J23" s="10"/>
      <c r="K23" s="9"/>
      <c r="L23" s="9"/>
    </row>
    <row r="24" ht="68.05" customHeight="1" spans="1:12">
      <c r="A24" s="7" t="s">
        <v>186</v>
      </c>
      <c r="B24" s="8" t="s">
        <v>70</v>
      </c>
      <c r="C24" s="8" t="s">
        <v>29</v>
      </c>
      <c r="D24" s="9" t="s">
        <v>187</v>
      </c>
      <c r="E24" s="9" t="s">
        <v>188</v>
      </c>
      <c r="F24" s="9" t="s">
        <v>189</v>
      </c>
      <c r="G24" s="9" t="s">
        <v>190</v>
      </c>
      <c r="H24" s="10" t="s">
        <v>34</v>
      </c>
      <c r="I24" s="9"/>
      <c r="J24" s="10"/>
      <c r="K24" s="9"/>
      <c r="L24" s="9"/>
    </row>
    <row r="25" ht="68.05" customHeight="1" spans="1:12">
      <c r="A25" s="7" t="s">
        <v>191</v>
      </c>
      <c r="B25" s="8" t="s">
        <v>192</v>
      </c>
      <c r="C25" s="8" t="s">
        <v>29</v>
      </c>
      <c r="D25" s="9" t="s">
        <v>193</v>
      </c>
      <c r="E25" s="9" t="s">
        <v>194</v>
      </c>
      <c r="F25" s="9" t="s">
        <v>195</v>
      </c>
      <c r="G25" s="9" t="s">
        <v>196</v>
      </c>
      <c r="H25" s="10" t="s">
        <v>34</v>
      </c>
      <c r="I25" s="9"/>
      <c r="J25" s="10"/>
      <c r="K25" s="9"/>
      <c r="L25" s="9"/>
    </row>
    <row r="26" ht="68.05" customHeight="1" spans="1:12">
      <c r="A26" s="7" t="s">
        <v>197</v>
      </c>
      <c r="B26" s="8" t="s">
        <v>192</v>
      </c>
      <c r="C26" s="8" t="s">
        <v>29</v>
      </c>
      <c r="D26" s="9" t="s">
        <v>198</v>
      </c>
      <c r="E26" s="9" t="s">
        <v>188</v>
      </c>
      <c r="F26" s="9" t="s">
        <v>199</v>
      </c>
      <c r="G26" s="9" t="s">
        <v>200</v>
      </c>
      <c r="H26" s="10" t="s">
        <v>34</v>
      </c>
      <c r="I26" s="9"/>
      <c r="J26" s="10"/>
      <c r="K26" s="9"/>
      <c r="L26" s="9"/>
    </row>
    <row r="27" ht="68.05" customHeight="1" spans="1:12">
      <c r="A27" s="7" t="s">
        <v>201</v>
      </c>
      <c r="B27" s="8" t="s">
        <v>192</v>
      </c>
      <c r="C27" s="8" t="s">
        <v>29</v>
      </c>
      <c r="D27" s="9" t="s">
        <v>202</v>
      </c>
      <c r="E27" s="9" t="s">
        <v>188</v>
      </c>
      <c r="F27" s="9" t="s">
        <v>203</v>
      </c>
      <c r="G27" s="9" t="s">
        <v>204</v>
      </c>
      <c r="H27" s="10" t="s">
        <v>34</v>
      </c>
      <c r="I27" s="9"/>
      <c r="J27" s="10"/>
      <c r="K27" s="9"/>
      <c r="L27" s="9"/>
    </row>
    <row r="28" ht="68.05" customHeight="1" spans="1:12">
      <c r="A28" s="7" t="s">
        <v>205</v>
      </c>
      <c r="B28" s="8" t="s">
        <v>206</v>
      </c>
      <c r="C28" s="8" t="s">
        <v>75</v>
      </c>
      <c r="D28" s="9" t="s">
        <v>207</v>
      </c>
      <c r="E28" s="9" t="s">
        <v>208</v>
      </c>
      <c r="F28" s="9" t="s">
        <v>209</v>
      </c>
      <c r="G28" s="9" t="s">
        <v>210</v>
      </c>
      <c r="H28" s="10" t="s">
        <v>34</v>
      </c>
      <c r="I28" s="9"/>
      <c r="J28" s="10"/>
      <c r="K28" s="9"/>
      <c r="L28" s="9"/>
    </row>
    <row r="29" ht="68.05" customHeight="1" spans="1:12">
      <c r="A29" s="7" t="s">
        <v>211</v>
      </c>
      <c r="B29" s="8" t="s">
        <v>206</v>
      </c>
      <c r="C29" s="8" t="s">
        <v>75</v>
      </c>
      <c r="D29" s="9" t="s">
        <v>212</v>
      </c>
      <c r="E29" s="9" t="s">
        <v>213</v>
      </c>
      <c r="F29" s="9" t="s">
        <v>214</v>
      </c>
      <c r="G29" s="9" t="s">
        <v>215</v>
      </c>
      <c r="H29" s="10" t="s">
        <v>34</v>
      </c>
      <c r="I29" s="9"/>
      <c r="J29" s="10"/>
      <c r="K29" s="9"/>
      <c r="L29" s="9"/>
    </row>
    <row r="30" ht="68.05" customHeight="1" spans="1:12">
      <c r="A30" s="7" t="s">
        <v>216</v>
      </c>
      <c r="B30" s="8" t="s">
        <v>217</v>
      </c>
      <c r="C30" s="8" t="s">
        <v>29</v>
      </c>
      <c r="D30" s="9" t="s">
        <v>218</v>
      </c>
      <c r="E30" s="9" t="s">
        <v>219</v>
      </c>
      <c r="F30" s="9" t="s">
        <v>220</v>
      </c>
      <c r="G30" s="9" t="s">
        <v>221</v>
      </c>
      <c r="H30" s="10" t="s">
        <v>34</v>
      </c>
      <c r="I30" s="9"/>
      <c r="J30" s="10"/>
      <c r="K30" s="9"/>
      <c r="L30" s="9"/>
    </row>
    <row r="31" ht="68.05" customHeight="1" spans="1:12">
      <c r="A31" s="11" t="s">
        <v>222</v>
      </c>
      <c r="B31" s="12" t="s">
        <v>217</v>
      </c>
      <c r="C31" s="12" t="s">
        <v>29</v>
      </c>
      <c r="D31" s="13" t="s">
        <v>223</v>
      </c>
      <c r="E31" s="13" t="s">
        <v>224</v>
      </c>
      <c r="F31" s="13" t="s">
        <v>225</v>
      </c>
      <c r="G31" s="13" t="s">
        <v>226</v>
      </c>
      <c r="H31" s="14" t="s">
        <v>34</v>
      </c>
      <c r="I31" s="13"/>
      <c r="J31" s="14"/>
      <c r="K31" s="13"/>
      <c r="L31" s="13"/>
    </row>
  </sheetData>
  <mergeCells count="2">
    <mergeCell ref="A1:L1"/>
    <mergeCell ref="A2:L2"/>
  </mergeCells>
  <conditionalFormatting sqref="J5:J31">
    <cfRule type="cellIs" dxfId="12" priority="1" stopIfTrue="1" operator="equal">
      <formula>"通过"</formula>
    </cfRule>
    <cfRule type="cellIs" dxfId="13" priority="2" stopIfTrue="1" operator="equal">
      <formula>"失败"</formula>
    </cfRule>
    <cfRule type="cellIs" dxfId="14" priority="3" stopIfTrue="1" operator="equal">
      <formula>"阻塞"</formula>
    </cfRule>
    <cfRule type="cellIs" dxfId="15" priority="4" stopIfTrue="1" operator="equal">
      <formula>"不适用"</formula>
    </cfRule>
  </conditionalFormatting>
  <dataValidations count="3">
    <dataValidation type="list" allowBlank="1" showInputMessage="1" showErrorMessage="1" sqref="C5:C31">
      <formula1>验证列表!$B$1:$B$3</formula1>
    </dataValidation>
    <dataValidation type="list" allowBlank="1" showInputMessage="1" showErrorMessage="1" sqref="H5:H31">
      <formula1>验证列表!$C$1:$C$5</formula1>
    </dataValidation>
    <dataValidation type="list" allowBlank="1" showInputMessage="1" showErrorMessage="1" sqref="J5:J31">
      <formula1>验证列表!$A$1:$A$4</formula1>
    </dataValidation>
  </dataValidations>
  <pageMargins left="0.7" right="0.7" top="0.75" bottom="0.75" header="0.3" footer="0.3"/>
  <pageSetup paperSize="9" scale="38" fitToHeight="0" orientation="landscape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1" sqref="A1"/>
    </sheetView>
  </sheetViews>
  <sheetFormatPr defaultColWidth="9" defaultRowHeight="14.1" outlineLevelRow="4" outlineLevelCol="2"/>
  <sheetData>
    <row r="1" spans="1:3">
      <c r="A1" t="s">
        <v>6</v>
      </c>
      <c r="B1" t="s">
        <v>29</v>
      </c>
      <c r="C1" t="s">
        <v>34</v>
      </c>
    </row>
    <row r="2" spans="1:3">
      <c r="A2" t="s">
        <v>7</v>
      </c>
      <c r="B2" t="s">
        <v>75</v>
      </c>
      <c r="C2" t="s">
        <v>227</v>
      </c>
    </row>
    <row r="3" spans="1:3">
      <c r="A3" t="s">
        <v>228</v>
      </c>
      <c r="B3" t="s">
        <v>229</v>
      </c>
      <c r="C3" t="s">
        <v>230</v>
      </c>
    </row>
    <row r="4" spans="1:3">
      <c r="A4" t="s">
        <v>231</v>
      </c>
      <c r="C4" t="s">
        <v>232</v>
      </c>
    </row>
    <row r="5" spans="1:3">
      <c r="C5" t="s">
        <v>233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测试概览</vt:lpstr>
      <vt:lpstr>APP基础测试</vt:lpstr>
      <vt:lpstr>UI操作逻辑</vt:lpstr>
      <vt:lpstr>验证列表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pengyuan xue</dc:creator>
  <cp:lastModifiedBy>薛朋远</cp:lastModifiedBy>
  <dcterms:created xsi:type="dcterms:W3CDTF">2026-08-20T07:37:00Z</dcterms:created>
  <dcterms:modified xsi:type="dcterms:W3CDTF">2026-08-20T10:06:33Z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76D7D1AA3EFF458A9582DE88953AE674_12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